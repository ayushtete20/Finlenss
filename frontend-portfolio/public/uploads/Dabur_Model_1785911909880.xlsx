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 P\Desktop\"/>
    </mc:Choice>
  </mc:AlternateContent>
  <xr:revisionPtr revIDLastSave="0" documentId="8_{A998FEAE-6415-4454-AAF0-CFE04364A331}" xr6:coauthVersionLast="47" xr6:coauthVersionMax="47" xr10:uidLastSave="{00000000-0000-0000-0000-000000000000}"/>
  <bookViews>
    <workbookView xWindow="-110" yWindow="-110" windowWidth="19420" windowHeight="10300" xr2:uid="{904890F0-91E6-403C-BBAA-9ADFB36F47A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E81" i="1"/>
  <c r="E82" i="1" s="1"/>
  <c r="D81" i="1"/>
  <c r="C81" i="1"/>
  <c r="C82" i="1" s="1"/>
  <c r="E77" i="1"/>
  <c r="E66" i="1"/>
  <c r="D66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19" i="1"/>
  <c r="F19" i="1"/>
  <c r="E19" i="1"/>
  <c r="D19" i="1"/>
  <c r="C19" i="1"/>
  <c r="G18" i="1"/>
  <c r="F18" i="1"/>
  <c r="E18" i="1"/>
  <c r="D18" i="1"/>
  <c r="J11" i="1"/>
  <c r="I11" i="1"/>
  <c r="H11" i="1"/>
  <c r="G7" i="1"/>
  <c r="G9" i="1" s="1"/>
  <c r="G12" i="1" s="1"/>
  <c r="G14" i="1" s="1"/>
  <c r="F7" i="1"/>
  <c r="F9" i="1" s="1"/>
  <c r="F12" i="1" s="1"/>
  <c r="F14" i="1" s="1"/>
  <c r="E7" i="1"/>
  <c r="E9" i="1" s="1"/>
  <c r="E12" i="1" s="1"/>
  <c r="E14" i="1" s="1"/>
  <c r="D7" i="1"/>
  <c r="D9" i="1" s="1"/>
  <c r="D12" i="1" s="1"/>
  <c r="D14" i="1" s="1"/>
  <c r="C7" i="1"/>
  <c r="C9" i="1" s="1"/>
  <c r="C12" i="1" s="1"/>
  <c r="C14" i="1" s="1"/>
  <c r="J6" i="1"/>
  <c r="J7" i="1" s="1"/>
  <c r="J9" i="1" s="1"/>
  <c r="I6" i="1"/>
  <c r="I7" i="1" s="1"/>
  <c r="I9" i="1" s="1"/>
  <c r="H6" i="1"/>
  <c r="H7" i="1" s="1"/>
  <c r="H9" i="1" s="1"/>
  <c r="J10" i="1" l="1"/>
  <c r="J12" i="1" s="1"/>
  <c r="H10" i="1"/>
  <c r="H12" i="1"/>
  <c r="I10" i="1"/>
  <c r="I12" i="1"/>
  <c r="J13" i="1" l="1"/>
  <c r="J14" i="1" s="1"/>
  <c r="I13" i="1"/>
  <c r="I14" i="1" s="1"/>
  <c r="H13" i="1"/>
  <c r="H14" i="1" s="1"/>
</calcChain>
</file>

<file path=xl/sharedStrings.xml><?xml version="1.0" encoding="utf-8"?>
<sst xmlns="http://schemas.openxmlformats.org/spreadsheetml/2006/main" count="126" uniqueCount="83">
  <si>
    <t>Income statement</t>
  </si>
  <si>
    <t>2027F</t>
  </si>
  <si>
    <t>2028F</t>
  </si>
  <si>
    <t>2029F</t>
  </si>
  <si>
    <t xml:space="preserve"> </t>
  </si>
  <si>
    <t>Revenue</t>
  </si>
  <si>
    <t>COGS</t>
  </si>
  <si>
    <t>Gross Profit</t>
  </si>
  <si>
    <t>Selling &amp; Expenses</t>
  </si>
  <si>
    <t>DABUR INDUSTRIES</t>
  </si>
  <si>
    <t>EBITDA</t>
  </si>
  <si>
    <t>Interest</t>
  </si>
  <si>
    <t>Depreciation</t>
  </si>
  <si>
    <t>EBT</t>
  </si>
  <si>
    <t>Tax</t>
  </si>
  <si>
    <t>Net income</t>
  </si>
  <si>
    <t>Asumption drivers</t>
  </si>
  <si>
    <t>Revenue growth</t>
  </si>
  <si>
    <t>NA</t>
  </si>
  <si>
    <t>COGS% of revenue</t>
  </si>
  <si>
    <t>S&amp;G expenses</t>
  </si>
  <si>
    <t>Inflation</t>
  </si>
  <si>
    <t>CapEx%rev</t>
  </si>
  <si>
    <t>Depreciation%rev</t>
  </si>
  <si>
    <t>Net WC%rev</t>
  </si>
  <si>
    <t>Interest rate</t>
  </si>
  <si>
    <t>Tax rate</t>
  </si>
  <si>
    <t>Balance sheet (₹ Cr)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</si>
  <si>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</si>
  <si>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</si>
  <si>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</si>
  <si>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</si>
  <si>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</si>
  <si>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</si>
  <si>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</si>
  <si>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</si>
  <si>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</si>
  <si>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Assets</t>
  </si>
  <si>
    <t>Cash &amp; Cash Equivalents</t>
  </si>
  <si>
    <t>Trade Receivables</t>
  </si>
  <si>
    <t>Inventories</t>
  </si>
  <si>
    <t>Other Current Assets</t>
  </si>
  <si>
    <t>Total Current Assets</t>
  </si>
  <si>
    <t>BALANCE SHEET ANALYSIS</t>
  </si>
  <si>
    <t>Property, Plant &amp; Equipment</t>
  </si>
  <si>
    <t>Capital Work in Progress</t>
  </si>
  <si>
    <t>Goodwill &amp; Intangibles</t>
  </si>
  <si>
    <t>Investments</t>
  </si>
  <si>
    <t>Other Non-Current Assets</t>
  </si>
  <si>
    <t>Total Assets</t>
  </si>
  <si>
    <t>Liabilities &amp; Equity</t>
  </si>
  <si>
    <t>Share Capital</t>
  </si>
  <si>
    <t>Reserves &amp; Surplus</t>
  </si>
  <si>
    <t>Total Equity</t>
  </si>
  <si>
    <t>Long-Term Borrowings</t>
  </si>
  <si>
    <t>Lease Liabilities</t>
  </si>
  <si>
    <t>Other Non-Current Liabilities</t>
  </si>
  <si>
    <t>Trade Payables</t>
  </si>
  <si>
    <t>Other Current Liabilities</t>
  </si>
  <si>
    <t>Short-Term Borrowings</t>
  </si>
  <si>
    <t>Total Liabilities &amp; Equity</t>
  </si>
  <si>
    <t>Cash Flow Statement</t>
  </si>
  <si>
    <t>2024A</t>
  </si>
  <si>
    <t>2025A</t>
  </si>
  <si>
    <t>2026A</t>
  </si>
  <si>
    <t>Cash from operations</t>
  </si>
  <si>
    <t xml:space="preserve"> Deferred taxes</t>
  </si>
  <si>
    <t>CASH FLOW HISTORICAL ANAYSIS</t>
  </si>
  <si>
    <t>Cash from accounts recievables</t>
  </si>
  <si>
    <t>Cash from inventory</t>
  </si>
  <si>
    <t>Cash from accounts payables</t>
  </si>
  <si>
    <t>Total</t>
  </si>
  <si>
    <t>Cash from Investing</t>
  </si>
  <si>
    <t>Capital expenditure</t>
  </si>
  <si>
    <t>Cash from financing</t>
  </si>
  <si>
    <t>Change in Long term debt</t>
  </si>
  <si>
    <t>Change in Short term debt</t>
  </si>
  <si>
    <t>Change in common equity</t>
  </si>
  <si>
    <t>Dividends</t>
  </si>
  <si>
    <t>Cash Balance</t>
  </si>
  <si>
    <t>Beginning of the year</t>
  </si>
  <si>
    <t>Increase / decrease</t>
  </si>
  <si>
    <t>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</si>
</sst>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12">
    <font>
      <sz val="11"/>
      <color theme="1"/>
      <name val=" 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164" fontId="4" fillId="0" borderId="0" xfId="0" applyNumberFormat="1" applyFont="1"/>
    <xf numFmtId="1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 vertical="top"/>
    </xf>
    <xf numFmtId="165" fontId="0" fillId="0" borderId="0" xfId="0" applyNumberFormat="1"/>
    <xf numFmtId="0" fontId="5" fillId="0" borderId="0" xfId="0" applyFont="1"/>
    <xf numFmtId="10" fontId="4" fillId="0" borderId="0" xfId="0" applyNumberFormat="1" applyFont="1" applyAlignment="1">
      <alignment vertical="center" wrapText="1"/>
    </xf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0" fillId="0" borderId="0" xfId="0" applyAlignment="1">
      <alignment horizontal="right"/>
    </xf>
    <xf numFmtId="166" fontId="0" fillId="0" borderId="0" xfId="0" applyNumberFormat="1"/>
    <xf numFmtId="2" fontId="4" fillId="0" borderId="0" xfId="0" applyNumberFormat="1" applyFont="1" applyAlignment="1">
      <alignment vertical="center" wrapText="1"/>
    </xf>
    <xf numFmtId="9" fontId="0" fillId="0" borderId="0" xfId="0" applyNumberFormat="1"/>
    <xf numFmtId="166" fontId="4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2" fontId="4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3"/>
    </xf>
    <xf numFmtId="0" fontId="0" fillId="0" borderId="0" xfId="0" applyAlignment="1">
      <alignment horizontal="left" vertical="center" wrapText="1" indent="4"/>
    </xf>
    <xf numFmtId="2" fontId="0" fillId="0" borderId="0" xfId="0" applyNumberFormat="1" applyAlignment="1">
      <alignment horizontal="left" wrapText="1" indent="4"/>
    </xf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1263-AEF5-4057-8C16-83046019671A}">
  <dimension ref="A4:Q82"/>
  <sheetViews>
    <sheetView tabSelected="1" zoomScale="85" workbookViewId="0">
      <selection activeCell="M33" sqref="M33"/>
    </sheetView>
  </sheetViews>
  <sheetFormatPr defaultRowHeight="14"/>
  <cols>
    <col min="5" max="5" width="10.25" customWidth="1"/>
    <col min="8" max="8" width="9.6640625" customWidth="1"/>
    <col min="9" max="9" width="10.4140625" customWidth="1"/>
    <col min="10" max="10" width="9.75" customWidth="1"/>
    <col min="11" max="11" width="9.6640625" customWidth="1"/>
  </cols>
  <sheetData>
    <row r="4" spans="1:17" ht="14.5">
      <c r="A4" s="1" t="s">
        <v>0</v>
      </c>
      <c r="B4" s="2"/>
      <c r="C4" s="2">
        <v>2022</v>
      </c>
      <c r="D4" s="2">
        <v>2023</v>
      </c>
      <c r="E4" s="2">
        <v>2024</v>
      </c>
      <c r="F4" s="2">
        <v>2025</v>
      </c>
      <c r="G4" s="2">
        <v>2026</v>
      </c>
      <c r="H4" s="3" t="s">
        <v>1</v>
      </c>
      <c r="I4" s="3" t="s">
        <v>2</v>
      </c>
      <c r="J4" s="3" t="s">
        <v>3</v>
      </c>
      <c r="Q4" t="s">
        <v>4</v>
      </c>
    </row>
    <row r="5" spans="1:17" ht="14.5">
      <c r="A5" s="4" t="s">
        <v>5</v>
      </c>
      <c r="C5" s="5">
        <v>8179</v>
      </c>
      <c r="D5" s="5">
        <v>8684</v>
      </c>
      <c r="E5" s="5">
        <v>12404</v>
      </c>
      <c r="F5" s="5">
        <v>9070</v>
      </c>
      <c r="G5" s="5">
        <v>9383</v>
      </c>
      <c r="H5" s="5">
        <v>9992</v>
      </c>
      <c r="I5" s="5">
        <v>10691</v>
      </c>
      <c r="J5" s="5">
        <v>11460</v>
      </c>
      <c r="Q5" s="6" t="s">
        <v>4</v>
      </c>
    </row>
    <row r="6" spans="1:17">
      <c r="A6" t="s">
        <v>6</v>
      </c>
      <c r="C6" s="7">
        <v>4377</v>
      </c>
      <c r="D6" s="8">
        <v>4855</v>
      </c>
      <c r="E6" s="8">
        <v>6446</v>
      </c>
      <c r="F6" s="9">
        <v>4962</v>
      </c>
      <c r="G6" s="9">
        <v>5086</v>
      </c>
      <c r="H6">
        <f>H5*H19</f>
        <v>5395.68</v>
      </c>
      <c r="I6">
        <f>I5*I19</f>
        <v>5751.7580000000007</v>
      </c>
      <c r="J6">
        <f>J5*J19</f>
        <v>6131.1</v>
      </c>
    </row>
    <row r="7" spans="1:17" ht="14.5">
      <c r="A7" s="4" t="s">
        <v>7</v>
      </c>
      <c r="C7" s="5">
        <f t="shared" ref="C7:J7" si="0">C5-C6</f>
        <v>3802</v>
      </c>
      <c r="D7" s="5">
        <f t="shared" si="0"/>
        <v>3829</v>
      </c>
      <c r="E7" s="5">
        <f t="shared" si="0"/>
        <v>5958</v>
      </c>
      <c r="F7" s="5">
        <f t="shared" si="0"/>
        <v>4108</v>
      </c>
      <c r="G7" s="5">
        <f t="shared" si="0"/>
        <v>4297</v>
      </c>
      <c r="H7" s="5">
        <f t="shared" si="0"/>
        <v>4596.32</v>
      </c>
      <c r="I7" s="5">
        <f t="shared" si="0"/>
        <v>4939.2419999999993</v>
      </c>
      <c r="J7" s="5">
        <f t="shared" si="0"/>
        <v>5328.9</v>
      </c>
    </row>
    <row r="8" spans="1:17" ht="21">
      <c r="A8" t="s">
        <v>8</v>
      </c>
      <c r="C8" s="7">
        <v>2068</v>
      </c>
      <c r="D8" s="7">
        <v>2128</v>
      </c>
      <c r="E8" s="7">
        <v>3556</v>
      </c>
      <c r="F8" s="7">
        <v>2401</v>
      </c>
      <c r="G8" s="7">
        <v>2515</v>
      </c>
      <c r="H8" s="7">
        <v>2641</v>
      </c>
      <c r="I8" s="7">
        <v>2773</v>
      </c>
      <c r="J8" s="7">
        <v>2912</v>
      </c>
      <c r="M8" s="10" t="s">
        <v>9</v>
      </c>
    </row>
    <row r="9" spans="1:17" ht="14.5">
      <c r="A9" s="4" t="s">
        <v>10</v>
      </c>
      <c r="C9" s="5">
        <f t="shared" ref="C9:J9" si="1">C7-C8</f>
        <v>1734</v>
      </c>
      <c r="D9" s="5">
        <f t="shared" si="1"/>
        <v>1701</v>
      </c>
      <c r="E9" s="5">
        <f t="shared" si="1"/>
        <v>2402</v>
      </c>
      <c r="F9" s="5">
        <f t="shared" si="1"/>
        <v>1707</v>
      </c>
      <c r="G9" s="5">
        <f t="shared" si="1"/>
        <v>1782</v>
      </c>
      <c r="H9" s="5">
        <f t="shared" si="1"/>
        <v>1955.3199999999997</v>
      </c>
      <c r="I9" s="5">
        <f t="shared" si="1"/>
        <v>2166.2419999999993</v>
      </c>
      <c r="J9" s="5">
        <f t="shared" si="1"/>
        <v>2416.8999999999996</v>
      </c>
    </row>
    <row r="10" spans="1:17">
      <c r="A10" t="s">
        <v>11</v>
      </c>
      <c r="C10" s="7">
        <v>19</v>
      </c>
      <c r="D10" s="7">
        <v>46</v>
      </c>
      <c r="E10" s="7">
        <v>124</v>
      </c>
      <c r="F10" s="7">
        <v>99</v>
      </c>
      <c r="G10" s="7">
        <v>82</v>
      </c>
      <c r="H10" s="9">
        <f>H9*H25</f>
        <v>136.8724</v>
      </c>
      <c r="I10" s="9">
        <f>I9*I25</f>
        <v>151.63693999999995</v>
      </c>
      <c r="J10" s="9">
        <f>J9*J25</f>
        <v>169.18299999999999</v>
      </c>
    </row>
    <row r="11" spans="1:17" ht="14.5">
      <c r="A11" t="s">
        <v>12</v>
      </c>
      <c r="C11" s="7">
        <v>161</v>
      </c>
      <c r="D11" s="7">
        <v>188</v>
      </c>
      <c r="E11" s="7">
        <v>400</v>
      </c>
      <c r="F11" s="7">
        <v>250</v>
      </c>
      <c r="G11" s="7">
        <v>260</v>
      </c>
      <c r="H11" s="9">
        <f>H5*H23</f>
        <v>279.77600000000001</v>
      </c>
      <c r="I11" s="9">
        <f>I5*I23</f>
        <v>299.34800000000001</v>
      </c>
      <c r="J11" s="9">
        <f>J5*J23</f>
        <v>332.34000000000003</v>
      </c>
      <c r="Q11" s="11"/>
    </row>
    <row r="12" spans="1:17" ht="14.5">
      <c r="A12" s="4" t="s">
        <v>13</v>
      </c>
      <c r="C12" s="5">
        <f t="shared" ref="C12:J12" si="2">C9-(C10+C11)</f>
        <v>1554</v>
      </c>
      <c r="D12" s="5">
        <f t="shared" si="2"/>
        <v>1467</v>
      </c>
      <c r="E12" s="5">
        <f t="shared" si="2"/>
        <v>1878</v>
      </c>
      <c r="F12" s="5">
        <f t="shared" si="2"/>
        <v>1358</v>
      </c>
      <c r="G12" s="5">
        <f t="shared" si="2"/>
        <v>1440</v>
      </c>
      <c r="H12" s="5">
        <f t="shared" si="2"/>
        <v>1538.6715999999997</v>
      </c>
      <c r="I12" s="5">
        <f t="shared" si="2"/>
        <v>1715.2570599999995</v>
      </c>
      <c r="J12" s="5">
        <f t="shared" si="2"/>
        <v>1915.3769999999995</v>
      </c>
      <c r="Q12" s="11"/>
    </row>
    <row r="13" spans="1:17" ht="14.5">
      <c r="A13" t="s">
        <v>14</v>
      </c>
      <c r="C13" s="7">
        <v>464</v>
      </c>
      <c r="D13" s="7">
        <v>455</v>
      </c>
      <c r="E13" s="7">
        <v>547</v>
      </c>
      <c r="F13" s="7">
        <v>405</v>
      </c>
      <c r="G13" s="7">
        <v>409</v>
      </c>
      <c r="H13" s="9">
        <f>H12*30%</f>
        <v>461.60147999999987</v>
      </c>
      <c r="I13" s="9">
        <f>I12*I26</f>
        <v>514.57711799999981</v>
      </c>
      <c r="J13" s="9">
        <f>J12*J26</f>
        <v>574.6130999999998</v>
      </c>
      <c r="Q13" s="11"/>
    </row>
    <row r="14" spans="1:17" ht="14.5">
      <c r="A14" s="4" t="s">
        <v>15</v>
      </c>
      <c r="C14" s="5">
        <f t="shared" ref="C14:J14" si="3">C12-C13</f>
        <v>1090</v>
      </c>
      <c r="D14" s="5">
        <f t="shared" si="3"/>
        <v>1012</v>
      </c>
      <c r="E14" s="5">
        <f t="shared" si="3"/>
        <v>1331</v>
      </c>
      <c r="F14" s="5">
        <f t="shared" si="3"/>
        <v>953</v>
      </c>
      <c r="G14" s="5">
        <f t="shared" si="3"/>
        <v>1031</v>
      </c>
      <c r="H14" s="5">
        <f t="shared" si="3"/>
        <v>1077.0701199999999</v>
      </c>
      <c r="I14" s="5">
        <f t="shared" si="3"/>
        <v>1200.6799419999998</v>
      </c>
      <c r="J14" s="5">
        <f t="shared" si="3"/>
        <v>1340.7638999999997</v>
      </c>
      <c r="Q14" s="11"/>
    </row>
    <row r="15" spans="1:17" ht="14.5">
      <c r="Q15" s="11"/>
    </row>
    <row r="17" spans="1:12" ht="14.5">
      <c r="A17" s="12" t="s">
        <v>16</v>
      </c>
      <c r="B17" s="13"/>
      <c r="C17" s="12">
        <v>2022</v>
      </c>
      <c r="D17" s="12">
        <v>2023</v>
      </c>
      <c r="E17" s="12">
        <v>2024</v>
      </c>
      <c r="F17" s="12">
        <v>2025</v>
      </c>
      <c r="G17" s="12">
        <v>2026</v>
      </c>
      <c r="H17" s="12">
        <v>2027</v>
      </c>
      <c r="I17" s="12">
        <v>2028</v>
      </c>
      <c r="J17" s="12">
        <v>2029</v>
      </c>
      <c r="K17" s="12">
        <v>2030</v>
      </c>
      <c r="L17" s="12">
        <v>2031</v>
      </c>
    </row>
    <row r="18" spans="1:12" ht="14.5">
      <c r="A18" s="14" t="s">
        <v>17</v>
      </c>
      <c r="C18" s="15" t="s">
        <v>18</v>
      </c>
      <c r="D18" s="6">
        <f>(D5-C5)/8179</f>
        <v>6.1743489424134983E-2</v>
      </c>
      <c r="E18" s="6">
        <f>(E5-D5)/8684</f>
        <v>0.42837402118839246</v>
      </c>
      <c r="F18" s="6">
        <f>(F5-E5)/12404</f>
        <v>-0.2687842631409223</v>
      </c>
      <c r="G18" s="6">
        <f>(G5-F5)/9070</f>
        <v>3.4509371554575521E-2</v>
      </c>
      <c r="H18" s="11">
        <v>6.5000000000000002E-2</v>
      </c>
      <c r="I18" s="16">
        <v>7.0000000000000007E-2</v>
      </c>
      <c r="J18" s="6">
        <v>7.1999999999999995E-2</v>
      </c>
      <c r="K18" s="6">
        <v>7.4999999999999997E-2</v>
      </c>
      <c r="L18" s="16">
        <v>0.08</v>
      </c>
    </row>
    <row r="19" spans="1:12" ht="14.5">
      <c r="A19" s="14" t="s">
        <v>19</v>
      </c>
      <c r="C19" s="16">
        <f>C6/C5</f>
        <v>0.53515099645433428</v>
      </c>
      <c r="D19" s="6">
        <f>D6/D5</f>
        <v>0.55907415937356053</v>
      </c>
      <c r="E19" s="6">
        <f>E6/E5</f>
        <v>0.51967107384714606</v>
      </c>
      <c r="F19" s="6">
        <f>F6/F5</f>
        <v>0.54707828004410142</v>
      </c>
      <c r="G19" s="6">
        <f>G6/G5</f>
        <v>0.54204412234892896</v>
      </c>
      <c r="H19" s="11">
        <v>0.54</v>
      </c>
      <c r="I19" s="6">
        <v>0.53800000000000003</v>
      </c>
      <c r="J19" s="6">
        <v>0.53500000000000003</v>
      </c>
      <c r="K19" s="6">
        <v>0.53299999999999992</v>
      </c>
      <c r="L19" s="6">
        <v>0.53</v>
      </c>
    </row>
    <row r="20" spans="1:12" ht="14.5">
      <c r="A20" t="s">
        <v>20</v>
      </c>
      <c r="C20" s="7">
        <v>2068</v>
      </c>
      <c r="D20" s="7">
        <v>2128</v>
      </c>
      <c r="E20" s="9">
        <v>3556</v>
      </c>
      <c r="F20" s="9">
        <v>2401</v>
      </c>
      <c r="G20" s="9">
        <v>2515</v>
      </c>
      <c r="H20" s="17">
        <v>2641</v>
      </c>
      <c r="I20" s="9">
        <v>2773</v>
      </c>
      <c r="J20" s="9">
        <v>2912</v>
      </c>
      <c r="K20" s="9">
        <v>3058</v>
      </c>
      <c r="L20" s="9">
        <v>3211</v>
      </c>
    </row>
    <row r="21" spans="1:12" ht="14.5">
      <c r="A21" t="s">
        <v>21</v>
      </c>
      <c r="C21" s="16">
        <v>7.0000000000000007E-2</v>
      </c>
      <c r="D21" s="16">
        <v>0.05</v>
      </c>
      <c r="E21" s="16">
        <v>0.05</v>
      </c>
      <c r="F21" s="16">
        <v>0.03</v>
      </c>
      <c r="G21" s="16">
        <v>0.05</v>
      </c>
      <c r="H21" s="11">
        <v>0.05</v>
      </c>
      <c r="I21" s="16">
        <v>0.05</v>
      </c>
      <c r="J21" s="6">
        <v>4.8000000000000001E-2</v>
      </c>
      <c r="K21" s="16">
        <v>4.4999999999999998E-2</v>
      </c>
      <c r="L21" s="16">
        <v>4.4999999999999998E-2</v>
      </c>
    </row>
    <row r="22" spans="1:12" ht="14.5">
      <c r="A22" s="14" t="s">
        <v>22</v>
      </c>
      <c r="C22" s="16">
        <f>296.77/C5</f>
        <v>3.6284386844357495E-2</v>
      </c>
      <c r="D22" s="6">
        <f>410.05/D5</f>
        <v>4.7219023491478586E-2</v>
      </c>
      <c r="E22" s="6">
        <f>563.86/E5</f>
        <v>4.5457916801031929E-2</v>
      </c>
      <c r="F22" s="6">
        <f>351.78/F5</f>
        <v>3.878500551267916E-2</v>
      </c>
      <c r="G22" s="6">
        <f>256.82/G5</f>
        <v>2.7370776937013747E-2</v>
      </c>
      <c r="H22" s="11">
        <v>0.03</v>
      </c>
      <c r="I22" s="18">
        <v>3.1E-2</v>
      </c>
      <c r="J22" s="6">
        <v>3.2000000000000001E-2</v>
      </c>
      <c r="K22" s="6">
        <v>3.2000000000000001E-2</v>
      </c>
      <c r="L22" s="6">
        <v>3.3000000000000002E-2</v>
      </c>
    </row>
    <row r="23" spans="1:12" ht="14.5">
      <c r="A23" s="14" t="s">
        <v>23</v>
      </c>
      <c r="C23" s="6">
        <f>C11/C5</f>
        <v>1.968455801442719E-2</v>
      </c>
      <c r="D23" s="6">
        <f>D11/D5</f>
        <v>2.164900967296177E-2</v>
      </c>
      <c r="E23" s="6">
        <f t="shared" ref="E23:G23" si="4">E11/E5</f>
        <v>3.2247662044501774E-2</v>
      </c>
      <c r="F23" s="6">
        <f t="shared" si="4"/>
        <v>2.7563395810363836E-2</v>
      </c>
      <c r="G23" s="6">
        <f t="shared" si="4"/>
        <v>2.7709687733134394E-2</v>
      </c>
      <c r="H23" s="11">
        <v>2.8000000000000001E-2</v>
      </c>
      <c r="I23" s="6">
        <v>2.8000000000000001E-2</v>
      </c>
      <c r="J23" s="6">
        <v>2.9000000000000001E-2</v>
      </c>
      <c r="K23" s="6">
        <v>2.9000000000000001E-2</v>
      </c>
      <c r="L23" s="6">
        <v>0.03</v>
      </c>
    </row>
    <row r="24" spans="1:12" ht="14.5">
      <c r="A24" s="14" t="s">
        <v>24</v>
      </c>
      <c r="C24" s="6">
        <f>157/C5</f>
        <v>1.9195500672453847E-2</v>
      </c>
      <c r="D24" s="6">
        <f>6/D5</f>
        <v>6.9092584062643945E-4</v>
      </c>
      <c r="E24" s="6">
        <f>770/E5</f>
        <v>6.2076749435665914E-2</v>
      </c>
      <c r="F24" s="6">
        <f>-262/F5</f>
        <v>-2.8886438809261301E-2</v>
      </c>
      <c r="G24" s="6">
        <f>5365/G5</f>
        <v>0.57177874880102308</v>
      </c>
      <c r="H24" s="6">
        <v>6.5000000000000002E-2</v>
      </c>
      <c r="I24" s="6">
        <v>6.4000000000000001E-2</v>
      </c>
      <c r="J24" s="6">
        <v>6.3E-2</v>
      </c>
      <c r="K24" s="6">
        <v>6.2E-2</v>
      </c>
      <c r="L24" s="6">
        <v>0.06</v>
      </c>
    </row>
    <row r="25" spans="1:12" ht="14.5">
      <c r="A25" t="s">
        <v>25</v>
      </c>
      <c r="C25" s="18">
        <v>7.0000000000000007E-2</v>
      </c>
      <c r="D25" s="18">
        <v>7.0000000000000007E-2</v>
      </c>
      <c r="E25" s="18">
        <v>7.0000000000000007E-2</v>
      </c>
      <c r="F25" s="18">
        <v>7.0000000000000007E-2</v>
      </c>
      <c r="G25" s="18">
        <v>7.0000000000000007E-2</v>
      </c>
      <c r="H25" s="19">
        <v>7.0000000000000007E-2</v>
      </c>
      <c r="I25" s="16">
        <v>7.0000000000000007E-2</v>
      </c>
      <c r="J25" s="16">
        <v>7.0000000000000007E-2</v>
      </c>
      <c r="K25" s="16">
        <v>7.0000000000000007E-2</v>
      </c>
      <c r="L25" s="16">
        <v>7.0000000000000007E-2</v>
      </c>
    </row>
    <row r="26" spans="1:12" ht="14.5">
      <c r="A26" t="s">
        <v>26</v>
      </c>
      <c r="C26" s="6">
        <v>0.3</v>
      </c>
      <c r="D26" s="18">
        <v>0.3</v>
      </c>
      <c r="E26" s="18">
        <v>0.3</v>
      </c>
      <c r="F26" s="18">
        <v>0.3</v>
      </c>
      <c r="G26" s="18">
        <v>0.3</v>
      </c>
      <c r="H26" s="19">
        <v>0.3</v>
      </c>
      <c r="I26" s="18">
        <v>0.3</v>
      </c>
      <c r="J26" s="16">
        <v>0.3</v>
      </c>
      <c r="K26" s="16">
        <v>0.3</v>
      </c>
      <c r="L26" s="16">
        <v>0.3</v>
      </c>
    </row>
    <row r="31" spans="1:12" ht="43.5">
      <c r="A31" s="20" t="s">
        <v>27</v>
      </c>
      <c r="B31" s="20" t="s">
        <v>4</v>
      </c>
      <c r="C31" s="20" t="s">
        <v>28</v>
      </c>
      <c r="D31" s="20" t="s">
        <v>29</v>
      </c>
      <c r="E31" s="20" t="s">
        <v>30</v>
      </c>
      <c r="F31" s="20" t="s">
        <v>31</v>
      </c>
      <c r="G31" s="20" t="s">
        <v>32</v>
      </c>
      <c r="H31" s="20" t="s">
        <v>33</v>
      </c>
      <c r="I31" s="20" t="s">
        <v>34</v>
      </c>
      <c r="J31" s="20" t="s">
        <v>35</v>
      </c>
      <c r="K31" s="20" t="s">
        <v>36</v>
      </c>
    </row>
    <row r="32" spans="1:12" ht="14.5">
      <c r="A32" s="21" t="s">
        <v>37</v>
      </c>
      <c r="B32" s="22"/>
      <c r="C32" s="23" t="s">
        <v>4</v>
      </c>
      <c r="D32" s="22"/>
      <c r="E32" s="22"/>
      <c r="F32" s="22"/>
      <c r="G32" s="22"/>
      <c r="H32" s="22"/>
      <c r="I32" s="22"/>
      <c r="J32" s="22"/>
      <c r="K32" s="22"/>
    </row>
    <row r="33" spans="1:16" ht="56">
      <c r="A33" s="22" t="s">
        <v>38</v>
      </c>
      <c r="B33" s="22"/>
      <c r="C33">
        <v>10.47</v>
      </c>
      <c r="D33">
        <v>15.35</v>
      </c>
      <c r="E33">
        <v>247.6</v>
      </c>
      <c r="F33">
        <v>24.16</v>
      </c>
      <c r="G33">
        <v>199.37</v>
      </c>
      <c r="H33" s="24">
        <v>225</v>
      </c>
      <c r="I33" s="25">
        <v>255</v>
      </c>
      <c r="J33" s="25">
        <v>290</v>
      </c>
      <c r="K33" s="25">
        <v>330</v>
      </c>
    </row>
    <row r="34" spans="1:16" ht="42">
      <c r="A34" s="22" t="s">
        <v>39</v>
      </c>
      <c r="B34" s="22"/>
      <c r="C34">
        <v>454.55</v>
      </c>
      <c r="D34">
        <v>561.17999999999995</v>
      </c>
      <c r="E34">
        <v>898.72</v>
      </c>
      <c r="F34">
        <v>600.58000000000004</v>
      </c>
      <c r="G34">
        <v>715.41</v>
      </c>
      <c r="H34" s="24">
        <v>772</v>
      </c>
      <c r="I34" s="25">
        <v>835</v>
      </c>
      <c r="J34" s="25">
        <v>903</v>
      </c>
      <c r="K34" s="25">
        <v>976</v>
      </c>
    </row>
    <row r="35" spans="1:16" ht="28">
      <c r="A35" s="22" t="s">
        <v>40</v>
      </c>
      <c r="B35" s="22"/>
      <c r="C35" s="23">
        <v>1237.96</v>
      </c>
      <c r="D35" s="23">
        <v>1223.77</v>
      </c>
      <c r="E35" s="23">
        <v>1946.97</v>
      </c>
      <c r="F35" s="23">
        <v>1288.07</v>
      </c>
      <c r="G35" s="23">
        <v>2321.63</v>
      </c>
      <c r="H35" s="24">
        <v>2507</v>
      </c>
      <c r="I35" s="25">
        <v>2708</v>
      </c>
      <c r="J35" s="25">
        <v>2925</v>
      </c>
      <c r="K35" s="25">
        <v>3158</v>
      </c>
    </row>
    <row r="36" spans="1:16" ht="42">
      <c r="A36" s="22" t="s">
        <v>41</v>
      </c>
      <c r="B36" s="22"/>
      <c r="C36">
        <v>116.4</v>
      </c>
      <c r="D36">
        <v>120.02</v>
      </c>
      <c r="E36">
        <v>458.38</v>
      </c>
      <c r="F36">
        <v>264.13</v>
      </c>
      <c r="G36">
        <v>643.86</v>
      </c>
      <c r="H36" s="24">
        <v>695</v>
      </c>
      <c r="I36" s="25">
        <v>751</v>
      </c>
      <c r="J36" s="25">
        <v>811</v>
      </c>
      <c r="K36" s="25">
        <v>876</v>
      </c>
    </row>
    <row r="37" spans="1:16" ht="43.5">
      <c r="A37" s="21" t="s">
        <v>42</v>
      </c>
      <c r="B37" s="22"/>
      <c r="C37" s="23">
        <v>2634.13</v>
      </c>
      <c r="D37" s="23">
        <v>2231.2800000000002</v>
      </c>
      <c r="E37" s="23">
        <v>5679.62</v>
      </c>
      <c r="F37" s="23">
        <v>3930.1</v>
      </c>
      <c r="G37" s="23">
        <v>8885.9599999999991</v>
      </c>
      <c r="H37" s="24">
        <v>4199</v>
      </c>
      <c r="I37" s="25">
        <v>4549</v>
      </c>
      <c r="J37" s="25">
        <v>4929</v>
      </c>
      <c r="K37" s="25">
        <v>5340</v>
      </c>
      <c r="P37" s="26" t="s">
        <v>43</v>
      </c>
    </row>
    <row r="38" spans="1:16" ht="56">
      <c r="A38" s="22" t="s">
        <v>44</v>
      </c>
      <c r="B38" s="22"/>
      <c r="C38" s="23">
        <v>1329.19</v>
      </c>
      <c r="D38" s="23">
        <v>1595.58</v>
      </c>
      <c r="E38" s="23">
        <v>2560.94</v>
      </c>
      <c r="F38" s="23">
        <v>1943.71</v>
      </c>
      <c r="G38" s="23">
        <v>2839.92</v>
      </c>
      <c r="H38" s="24">
        <v>3067</v>
      </c>
      <c r="I38" s="25">
        <v>3312</v>
      </c>
      <c r="J38" s="25">
        <v>3577</v>
      </c>
      <c r="K38" s="25">
        <v>3836</v>
      </c>
    </row>
    <row r="39" spans="1:16" ht="42">
      <c r="A39" s="22" t="s">
        <v>45</v>
      </c>
      <c r="B39" s="22"/>
      <c r="C39">
        <v>128.47999999999999</v>
      </c>
      <c r="D39">
        <v>109.43</v>
      </c>
      <c r="E39">
        <v>209.09</v>
      </c>
      <c r="F39">
        <v>134.66</v>
      </c>
      <c r="G39">
        <v>137.47999999999999</v>
      </c>
      <c r="H39" s="24">
        <v>145</v>
      </c>
      <c r="I39" s="25">
        <v>155</v>
      </c>
      <c r="J39" s="25">
        <v>165</v>
      </c>
      <c r="K39" s="25">
        <v>175</v>
      </c>
    </row>
    <row r="40" spans="1:16" ht="56">
      <c r="A40" s="22" t="s">
        <v>46</v>
      </c>
      <c r="B40" s="22"/>
      <c r="C40">
        <v>23.44</v>
      </c>
      <c r="D40">
        <v>21.01</v>
      </c>
      <c r="E40" s="27">
        <v>1231</v>
      </c>
      <c r="F40" s="27">
        <v>50</v>
      </c>
      <c r="G40" s="27">
        <v>1055</v>
      </c>
      <c r="H40" s="24">
        <v>1055</v>
      </c>
      <c r="I40" s="25">
        <v>1055</v>
      </c>
      <c r="J40" s="25">
        <v>1055</v>
      </c>
      <c r="K40" s="25">
        <v>1055</v>
      </c>
    </row>
    <row r="41" spans="1:16" ht="28">
      <c r="A41" s="22" t="s">
        <v>47</v>
      </c>
      <c r="B41" s="22"/>
      <c r="C41">
        <v>679.38</v>
      </c>
      <c r="D41">
        <v>272.52999999999997</v>
      </c>
      <c r="E41" s="23">
        <v>5310</v>
      </c>
      <c r="F41" s="27">
        <v>4773</v>
      </c>
      <c r="G41" s="27">
        <v>4393</v>
      </c>
      <c r="H41" s="24">
        <v>4700</v>
      </c>
      <c r="I41" s="25">
        <v>5030</v>
      </c>
      <c r="J41" s="25">
        <v>5380</v>
      </c>
      <c r="K41" s="25">
        <v>5755</v>
      </c>
    </row>
    <row r="42" spans="1:16" ht="56">
      <c r="A42" s="22" t="s">
        <v>48</v>
      </c>
      <c r="B42" s="22"/>
      <c r="C42">
        <v>79.510000000000005</v>
      </c>
      <c r="D42">
        <v>71.760000000000005</v>
      </c>
      <c r="E42">
        <v>98.14</v>
      </c>
      <c r="F42">
        <v>131.5</v>
      </c>
      <c r="G42">
        <v>138.91999999999999</v>
      </c>
      <c r="H42" s="24">
        <v>145</v>
      </c>
      <c r="I42" s="25">
        <v>152</v>
      </c>
      <c r="J42" s="25">
        <v>160</v>
      </c>
      <c r="K42" s="25">
        <v>168</v>
      </c>
    </row>
    <row r="43" spans="1:16" ht="29">
      <c r="A43" s="21" t="s">
        <v>49</v>
      </c>
      <c r="B43" s="22"/>
      <c r="C43" s="23">
        <v>8592</v>
      </c>
      <c r="D43" s="23">
        <v>9352.44</v>
      </c>
      <c r="E43" s="23">
        <v>15122.68</v>
      </c>
      <c r="F43" s="27">
        <v>11005</v>
      </c>
      <c r="G43" s="23">
        <v>8885.9599999999991</v>
      </c>
      <c r="H43" s="24">
        <v>13311</v>
      </c>
      <c r="I43" s="25" t="s">
        <v>4</v>
      </c>
      <c r="J43" s="25" t="s">
        <v>4</v>
      </c>
      <c r="K43" s="25" t="s">
        <v>4</v>
      </c>
    </row>
    <row r="44" spans="1:16" ht="29">
      <c r="A44" s="21" t="s">
        <v>50</v>
      </c>
      <c r="B44" s="22"/>
      <c r="C44" s="22"/>
      <c r="D44" s="22"/>
      <c r="E44" s="22"/>
      <c r="F44" s="22"/>
      <c r="G44" s="22"/>
      <c r="H44" s="24" t="s">
        <v>4</v>
      </c>
      <c r="I44" s="25"/>
      <c r="J44" s="25"/>
      <c r="K44" s="25"/>
    </row>
    <row r="45" spans="1:16" ht="28">
      <c r="A45" s="22" t="s">
        <v>51</v>
      </c>
      <c r="B45" s="22"/>
      <c r="C45">
        <v>176.79</v>
      </c>
      <c r="D45">
        <v>177.18</v>
      </c>
      <c r="E45">
        <v>177.2</v>
      </c>
      <c r="F45">
        <v>177.23</v>
      </c>
      <c r="G45">
        <v>177.37</v>
      </c>
      <c r="H45" s="24">
        <v>177.37</v>
      </c>
      <c r="I45" s="24">
        <v>177.37</v>
      </c>
      <c r="J45" s="24">
        <v>177.37</v>
      </c>
      <c r="K45" s="24">
        <v>177.37</v>
      </c>
    </row>
    <row r="46" spans="1:16" ht="39" customHeight="1">
      <c r="A46" s="22" t="s">
        <v>52</v>
      </c>
      <c r="B46" s="22"/>
      <c r="C46" s="28" t="s">
        <v>18</v>
      </c>
      <c r="D46" s="28" t="s">
        <v>18</v>
      </c>
      <c r="E46" s="29" t="s">
        <v>18</v>
      </c>
      <c r="F46" s="28" t="s">
        <v>18</v>
      </c>
      <c r="G46" s="29" t="s">
        <v>18</v>
      </c>
      <c r="H46" s="30" t="s">
        <v>18</v>
      </c>
      <c r="I46" s="30" t="s">
        <v>18</v>
      </c>
      <c r="J46" s="30" t="s">
        <v>18</v>
      </c>
      <c r="K46" s="30" t="s">
        <v>18</v>
      </c>
    </row>
    <row r="47" spans="1:16" ht="29">
      <c r="A47" s="21" t="s">
        <v>53</v>
      </c>
      <c r="B47" s="22"/>
      <c r="C47" s="23">
        <v>5863.87</v>
      </c>
      <c r="D47" s="23">
        <v>6286.88</v>
      </c>
      <c r="E47" s="23">
        <v>10303.08</v>
      </c>
      <c r="F47" s="23">
        <v>7423.29</v>
      </c>
      <c r="G47" s="23">
        <v>11802.75</v>
      </c>
      <c r="H47" s="24">
        <v>12924.37</v>
      </c>
      <c r="I47" s="24" t="s">
        <v>4</v>
      </c>
      <c r="J47" s="24" t="s">
        <v>4</v>
      </c>
      <c r="K47" s="24" t="s">
        <v>4</v>
      </c>
    </row>
    <row r="48" spans="1:16" ht="56">
      <c r="A48" s="22" t="s">
        <v>54</v>
      </c>
      <c r="B48" s="22"/>
      <c r="C48">
        <v>249.1</v>
      </c>
      <c r="D48">
        <v>249.45</v>
      </c>
      <c r="E48">
        <v>535.97</v>
      </c>
      <c r="F48">
        <v>249.42</v>
      </c>
      <c r="G48">
        <v>15.96</v>
      </c>
      <c r="H48" s="24">
        <v>4</v>
      </c>
      <c r="I48" s="25">
        <v>12</v>
      </c>
      <c r="J48" s="25">
        <v>10</v>
      </c>
      <c r="K48" s="25">
        <v>8</v>
      </c>
    </row>
    <row r="49" spans="1:17" ht="28">
      <c r="A49" s="22" t="s">
        <v>55</v>
      </c>
      <c r="B49" s="22"/>
      <c r="C49">
        <v>40.340000000000003</v>
      </c>
      <c r="D49">
        <v>45.21</v>
      </c>
      <c r="E49">
        <v>170.27</v>
      </c>
      <c r="F49">
        <v>72.41</v>
      </c>
      <c r="G49">
        <v>181.18</v>
      </c>
      <c r="H49" s="24">
        <v>185</v>
      </c>
      <c r="I49" s="25">
        <v>189</v>
      </c>
      <c r="J49" s="25">
        <v>193</v>
      </c>
      <c r="K49" s="25">
        <v>197</v>
      </c>
    </row>
    <row r="50" spans="1:17" ht="56">
      <c r="A50" s="22" t="s">
        <v>56</v>
      </c>
      <c r="B50" s="22"/>
      <c r="C50" s="28" t="s">
        <v>18</v>
      </c>
      <c r="D50" s="28" t="s">
        <v>18</v>
      </c>
      <c r="E50" s="29" t="s">
        <v>18</v>
      </c>
      <c r="F50" s="28" t="s">
        <v>18</v>
      </c>
      <c r="G50" s="29" t="s">
        <v>18</v>
      </c>
      <c r="H50" s="30" t="s">
        <v>18</v>
      </c>
      <c r="I50" s="30" t="s">
        <v>18</v>
      </c>
      <c r="J50" s="30" t="s">
        <v>18</v>
      </c>
      <c r="K50" s="30" t="s">
        <v>18</v>
      </c>
    </row>
    <row r="51" spans="1:17" ht="28">
      <c r="A51" s="22" t="s">
        <v>57</v>
      </c>
      <c r="B51" s="22"/>
      <c r="C51" s="22">
        <v>1581</v>
      </c>
      <c r="D51" s="22">
        <v>1818</v>
      </c>
      <c r="E51" s="22">
        <v>2421</v>
      </c>
      <c r="F51" s="22">
        <v>2341</v>
      </c>
      <c r="G51" s="22">
        <v>2953</v>
      </c>
      <c r="H51" s="24">
        <v>3190</v>
      </c>
      <c r="I51" s="25">
        <v>3445</v>
      </c>
      <c r="J51" s="25">
        <v>3720</v>
      </c>
      <c r="K51" s="25">
        <v>4018</v>
      </c>
      <c r="P51" t="s">
        <v>4</v>
      </c>
      <c r="Q51" s="23" t="s">
        <v>4</v>
      </c>
    </row>
    <row r="52" spans="1:17" ht="42">
      <c r="A52" s="22" t="s">
        <v>58</v>
      </c>
      <c r="B52" s="22"/>
      <c r="C52">
        <v>69.95</v>
      </c>
      <c r="D52">
        <v>70.97</v>
      </c>
      <c r="E52">
        <v>112.35</v>
      </c>
      <c r="F52">
        <v>74.819999999999993</v>
      </c>
      <c r="G52">
        <v>79.150000000000006</v>
      </c>
      <c r="H52" s="24">
        <v>85</v>
      </c>
      <c r="I52" s="25">
        <v>91</v>
      </c>
      <c r="J52" s="25">
        <v>98</v>
      </c>
      <c r="K52" s="25">
        <v>106</v>
      </c>
    </row>
    <row r="53" spans="1:17" ht="56">
      <c r="A53" s="22" t="s">
        <v>59</v>
      </c>
      <c r="B53" s="22"/>
      <c r="C53">
        <v>261.88</v>
      </c>
      <c r="D53">
        <v>307.76</v>
      </c>
      <c r="E53">
        <v>622.1</v>
      </c>
      <c r="F53">
        <v>35.380000000000003</v>
      </c>
      <c r="G53" s="23">
        <v>1046.72</v>
      </c>
      <c r="H53" s="24">
        <v>998</v>
      </c>
      <c r="I53" s="25">
        <v>950</v>
      </c>
      <c r="J53" s="25">
        <v>900</v>
      </c>
      <c r="K53" s="25">
        <v>850</v>
      </c>
    </row>
    <row r="54" spans="1:17" ht="43.5">
      <c r="A54" s="21" t="s">
        <v>60</v>
      </c>
      <c r="B54" s="22"/>
      <c r="C54" s="23">
        <v>8592</v>
      </c>
      <c r="D54" s="23">
        <v>9352.44</v>
      </c>
      <c r="E54" s="23">
        <v>15122.68</v>
      </c>
      <c r="F54" s="23">
        <v>11005</v>
      </c>
      <c r="G54" s="23">
        <v>17479</v>
      </c>
      <c r="H54" s="21" t="s">
        <v>4</v>
      </c>
    </row>
    <row r="55" spans="1:17" ht="14.5">
      <c r="H55" s="21" t="s">
        <v>4</v>
      </c>
    </row>
    <row r="56" spans="1:17" ht="14.5">
      <c r="H56" s="21" t="s">
        <v>4</v>
      </c>
    </row>
    <row r="57" spans="1:17" ht="14.5">
      <c r="A57" s="1" t="s">
        <v>61</v>
      </c>
      <c r="B57" s="2"/>
      <c r="C57" s="3" t="s">
        <v>62</v>
      </c>
      <c r="D57" s="3" t="s">
        <v>63</v>
      </c>
      <c r="E57" s="3" t="s">
        <v>64</v>
      </c>
      <c r="F57" s="3" t="s">
        <v>4</v>
      </c>
      <c r="G57" s="3" t="s">
        <v>4</v>
      </c>
      <c r="H57" s="3" t="s">
        <v>4</v>
      </c>
    </row>
    <row r="59" spans="1:17" ht="14.5">
      <c r="A59" s="31" t="s">
        <v>65</v>
      </c>
    </row>
    <row r="60" spans="1:17">
      <c r="A60" s="32" t="s">
        <v>15</v>
      </c>
      <c r="C60" s="7">
        <v>1811.31</v>
      </c>
      <c r="D60" s="23">
        <v>1740.42</v>
      </c>
      <c r="E60" s="23">
        <v>1868.69</v>
      </c>
      <c r="F60" s="7" t="s">
        <v>4</v>
      </c>
      <c r="G60" s="7" t="s">
        <v>4</v>
      </c>
      <c r="H60" s="7" t="s">
        <v>4</v>
      </c>
    </row>
    <row r="61" spans="1:17" ht="18.5">
      <c r="A61" t="s">
        <v>66</v>
      </c>
      <c r="C61" s="7">
        <v>7.9</v>
      </c>
      <c r="D61">
        <v>18</v>
      </c>
      <c r="E61">
        <v>14.43</v>
      </c>
      <c r="G61" s="33" t="s">
        <v>67</v>
      </c>
    </row>
    <row r="62" spans="1:17">
      <c r="A62" t="s">
        <v>12</v>
      </c>
      <c r="C62" s="7">
        <v>399.21</v>
      </c>
      <c r="D62">
        <v>445</v>
      </c>
      <c r="E62">
        <v>468.93</v>
      </c>
    </row>
    <row r="63" spans="1:17">
      <c r="A63" t="s">
        <v>68</v>
      </c>
      <c r="C63" s="7">
        <v>50</v>
      </c>
      <c r="D63">
        <v>-10</v>
      </c>
      <c r="E63">
        <v>-173</v>
      </c>
    </row>
    <row r="64" spans="1:17">
      <c r="A64" t="s">
        <v>69</v>
      </c>
      <c r="C64" s="7">
        <v>-78</v>
      </c>
      <c r="D64">
        <v>354</v>
      </c>
      <c r="E64">
        <v>21</v>
      </c>
    </row>
    <row r="65" spans="1:5">
      <c r="A65" t="s">
        <v>70</v>
      </c>
      <c r="C65" s="7">
        <v>234</v>
      </c>
      <c r="D65">
        <v>404</v>
      </c>
      <c r="E65">
        <v>132</v>
      </c>
    </row>
    <row r="66" spans="1:5" ht="14.5">
      <c r="A66" s="34" t="s">
        <v>71</v>
      </c>
      <c r="C66" s="7">
        <v>2424</v>
      </c>
      <c r="D66" s="23">
        <f>D60+D61+D62+D63+D64+D65</f>
        <v>2951.42</v>
      </c>
      <c r="E66" s="23">
        <f>E60+E61+E62+E63+E64+E65</f>
        <v>2332.0500000000002</v>
      </c>
    </row>
    <row r="67" spans="1:5">
      <c r="C67" s="7"/>
    </row>
    <row r="68" spans="1:5" ht="14.5">
      <c r="A68" s="31" t="s">
        <v>72</v>
      </c>
      <c r="C68" s="7"/>
    </row>
    <row r="69" spans="1:5">
      <c r="A69" t="s">
        <v>73</v>
      </c>
      <c r="C69" s="7">
        <v>-452</v>
      </c>
      <c r="D69">
        <v>-569</v>
      </c>
      <c r="E69">
        <v>-420</v>
      </c>
    </row>
    <row r="70" spans="1:5" ht="14.5">
      <c r="A70" s="34" t="s">
        <v>71</v>
      </c>
      <c r="C70" s="7">
        <v>-452</v>
      </c>
      <c r="D70">
        <v>-569</v>
      </c>
      <c r="E70">
        <v>-420</v>
      </c>
    </row>
    <row r="71" spans="1:5">
      <c r="C71" s="7"/>
    </row>
    <row r="72" spans="1:5" ht="14.5">
      <c r="A72" s="31" t="s">
        <v>74</v>
      </c>
      <c r="C72" s="7"/>
    </row>
    <row r="73" spans="1:5">
      <c r="A73" t="s">
        <v>75</v>
      </c>
      <c r="C73" s="7">
        <v>237</v>
      </c>
      <c r="D73">
        <v>-231</v>
      </c>
      <c r="E73">
        <v>-289</v>
      </c>
    </row>
    <row r="74" spans="1:5">
      <c r="A74" t="s">
        <v>76</v>
      </c>
      <c r="C74" s="7">
        <v>-78</v>
      </c>
      <c r="D74">
        <v>-196</v>
      </c>
      <c r="E74">
        <v>620</v>
      </c>
    </row>
    <row r="75" spans="1:5">
      <c r="A75" t="s">
        <v>77</v>
      </c>
      <c r="C75" s="7">
        <v>0</v>
      </c>
      <c r="D75">
        <v>0</v>
      </c>
      <c r="E75">
        <v>0</v>
      </c>
    </row>
    <row r="76" spans="1:5">
      <c r="A76" t="s">
        <v>78</v>
      </c>
      <c r="C76" s="7">
        <v>44</v>
      </c>
      <c r="D76">
        <v>-974</v>
      </c>
      <c r="E76">
        <v>-1418</v>
      </c>
    </row>
    <row r="77" spans="1:5" ht="14.5">
      <c r="A77" s="34" t="s">
        <v>71</v>
      </c>
      <c r="C77" s="7">
        <v>-203</v>
      </c>
      <c r="D77">
        <v>-1401</v>
      </c>
      <c r="E77">
        <f>E73+E74+E75+E76</f>
        <v>-1087</v>
      </c>
    </row>
    <row r="79" spans="1:5" ht="14.5">
      <c r="A79" s="31" t="s">
        <v>79</v>
      </c>
    </row>
    <row r="80" spans="1:5">
      <c r="A80" t="s">
        <v>80</v>
      </c>
      <c r="C80" s="7">
        <v>146</v>
      </c>
      <c r="D80">
        <v>247</v>
      </c>
      <c r="E80">
        <v>184</v>
      </c>
    </row>
    <row r="81" spans="1:5">
      <c r="A81" t="s">
        <v>81</v>
      </c>
      <c r="C81" s="7">
        <f>C66+C70+C77</f>
        <v>1769</v>
      </c>
      <c r="D81" s="23">
        <f>D66+D70+D77</f>
        <v>981.42000000000007</v>
      </c>
      <c r="E81" s="23">
        <f>E66+E70+E77</f>
        <v>825.05000000000018</v>
      </c>
    </row>
    <row r="82" spans="1:5">
      <c r="A82" t="s">
        <v>82</v>
      </c>
      <c r="C82" s="7">
        <f>C80+C81</f>
        <v>1915</v>
      </c>
      <c r="D82" s="23">
        <f>D80+D81</f>
        <v>1228.42</v>
      </c>
      <c r="E82" s="23">
        <f>E80+E81</f>
        <v>1009.0500000000002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Singh</dc:creator>
  <cp:lastModifiedBy>Tushar Singh</cp:lastModifiedBy>
  <dcterms:created xsi:type="dcterms:W3CDTF">2026-08-01T18:36:12Z</dcterms:created>
  <dcterms:modified xsi:type="dcterms:W3CDTF">2026-08-01T18:38:57Z</dcterms:modified>
</cp:coreProperties>
</file>